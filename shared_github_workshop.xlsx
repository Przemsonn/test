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'Tasks'!$A$1:$O$25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;[Red](0.0);-"/>
    <numFmt numFmtId="167" formatCode="[=1]&quot;Yes&quot;;[=0]&quot;No&quot;"/>
  </numFmts>
  <fonts count="17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color rgb="000000FF"/>
      <sz val="10"/>
    </font>
    <font>
      <name val="Aptos"/>
      <color rgb="00000000"/>
      <sz val="10"/>
    </font>
    <font>
      <name val="Aptos"/>
      <color rgb="00008000"/>
      <sz val="10"/>
    </font>
    <font>
      <name val="Aptos Display"/>
      <b val="1"/>
      <color rgb="00FFFFFF"/>
      <sz val="16"/>
    </font>
    <font>
      <b val="1"/>
      <color rgb="007030A0"/>
    </font>
    <font>
      <i val="1"/>
      <color rgb="00666666"/>
    </font>
    <font>
      <name val="Aptos"/>
      <b val="1"/>
      <color rgb="00FFFFFF"/>
      <sz val="10"/>
    </font>
    <font>
      <name val="Aptos"/>
      <color rgb="00666666"/>
      <sz val="10"/>
    </font>
    <font>
      <b val="1"/>
      <color rgb="00666666"/>
    </font>
    <font>
      <name val="Aptos"/>
      <b val="1"/>
      <color rgb="00666666"/>
      <sz val="10"/>
    </font>
    <font>
      <name val="Aptos"/>
      <b val="1"/>
      <color rgb="00000000"/>
      <sz val="10"/>
    </font>
    <font>
      <color rgb="000000FF"/>
    </font>
    <font>
      <color rgb="00000000"/>
    </font>
    <font>
      <color rgb="00008000"/>
    </font>
    <font>
      <color rgb="00666666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4DFE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top style="thin">
        <color rgb="0066666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167" fontId="4" fillId="0" borderId="0" applyAlignment="1" pivotButton="0" quotePrefix="0" xfId="0">
      <alignment vertical="top"/>
    </xf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165" fontId="2" fillId="3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" fontId="4" fillId="0" borderId="0" pivotButton="0" quotePrefix="0" xfId="0"/>
    <xf numFmtId="166" fontId="4" fillId="0" borderId="0" pivotButton="0" quotePrefix="0" xfId="0"/>
    <xf numFmtId="9" fontId="4" fillId="0" borderId="0" pivotButton="0" quotePrefix="0" xfId="0"/>
    <xf numFmtId="0" fontId="11" fillId="4" borderId="1" pivotButton="0" quotePrefix="0" xfId="0"/>
    <xf numFmtId="1" fontId="12" fillId="4" borderId="1" pivotButton="0" quotePrefix="0" xfId="0"/>
    <xf numFmtId="166" fontId="12" fillId="4" borderId="1" pivotButton="0" quotePrefix="0" xfId="0"/>
    <xf numFmtId="9" fontId="12" fillId="4" borderId="1" pivotButton="0" quotePrefix="0" xfId="0"/>
    <xf numFmtId="0" fontId="9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Completed Tasks by Participant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'Summary'!$A$6:$A$13</f>
            </numRef>
          </cat>
          <val>
            <numRef>
              <f>'Summary'!$C$6:$C$13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Participant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Completed Tasks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WorkshopTasks" displayName="WorkshopTasks" ref="A1:O25" headerRowCount="1">
  <autoFilter ref="A1:O25"/>
  <tableColumns count="15">
    <tableColumn id="1" name="Task ID"/>
    <tableColumn id="2" name="Project"/>
    <tableColumn id="3" name="Participant"/>
    <tableColumn id="4" name="Category"/>
    <tableColumn id="5" name="Priority"/>
    <tableColumn id="6" name="Status"/>
    <tableColumn id="7" name="Start Date"/>
    <tableColumn id="8" name="Due Date"/>
    <tableColumn id="9" name="Completed Date"/>
    <tableColumn id="10" name="Estimated Hours"/>
    <tableColumn id="11" name="Actual Hours"/>
    <tableColumn id="12" name="Variance Hours"/>
    <tableColumn id="13" name="Completion %"/>
    <tableColumn id="14" name="On Time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6" customWidth="1" min="4" max="4"/>
    <col width="11" customWidth="1" min="5" max="5"/>
    <col width="14" customWidth="1" min="6" max="6"/>
    <col width="12" customWidth="1" min="7" max="7"/>
    <col width="12" customWidth="1" min="8" max="8"/>
    <col width="14" customWidth="1" min="9" max="9"/>
    <col width="15" customWidth="1" min="10" max="10"/>
    <col width="13" customWidth="1" min="11" max="11"/>
    <col width="14" customWidth="1" min="12" max="12"/>
    <col width="13" customWidth="1" min="13" max="13"/>
    <col width="11" customWidth="1" min="14" max="14"/>
    <col width="45" customWidth="1" min="15" max="15"/>
  </cols>
  <sheetData>
    <row r="1" ht="32" customHeight="1">
      <c r="A1" s="1" t="inlineStr">
        <is>
          <t>Task ID</t>
        </is>
      </c>
      <c r="B1" s="1" t="inlineStr">
        <is>
          <t>Project</t>
        </is>
      </c>
      <c r="C1" s="1" t="inlineStr">
        <is>
          <t>Participant</t>
        </is>
      </c>
      <c r="D1" s="1" t="inlineStr">
        <is>
          <t>Category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Start Date</t>
        </is>
      </c>
      <c r="H1" s="1" t="inlineStr">
        <is>
          <t>Due Date</t>
        </is>
      </c>
      <c r="I1" s="1" t="inlineStr">
        <is>
          <t>Completed Date</t>
        </is>
      </c>
      <c r="J1" s="1" t="inlineStr">
        <is>
          <t>Estimated Hours</t>
        </is>
      </c>
      <c r="K1" s="1" t="inlineStr">
        <is>
          <t>Actual Hours</t>
        </is>
      </c>
      <c r="L1" s="1" t="inlineStr">
        <is>
          <t>Variance Hours</t>
        </is>
      </c>
      <c r="M1" s="1" t="inlineStr">
        <is>
          <t>Completion %</t>
        </is>
      </c>
      <c r="N1" s="1" t="inlineStr">
        <is>
          <t>On Time</t>
        </is>
      </c>
      <c r="O1" s="1" t="inlineStr">
        <is>
          <t>Notes</t>
        </is>
      </c>
    </row>
    <row r="2">
      <c r="A2" s="2" t="n">
        <v>101</v>
      </c>
      <c r="B2" s="3" t="inlineStr">
        <is>
          <t>Sales Dashboard Refresh</t>
        </is>
      </c>
      <c r="C2" s="2" t="inlineStr">
        <is>
          <t>PRKD</t>
        </is>
      </c>
      <c r="D2" s="2" t="inlineStr">
        <is>
          <t>SQL</t>
        </is>
      </c>
      <c r="E2" s="2" t="inlineStr">
        <is>
          <t>High</t>
        </is>
      </c>
      <c r="F2" s="2" t="inlineStr">
        <is>
          <t>Completed</t>
        </is>
      </c>
      <c r="G2" s="4" t="n">
        <v>46266</v>
      </c>
      <c r="H2" s="4" t="n">
        <v>46269</v>
      </c>
      <c r="I2" s="4" t="n">
        <v>46269</v>
      </c>
      <c r="J2" s="5" t="n">
        <v>6</v>
      </c>
      <c r="K2" s="5" t="n">
        <v>6.5</v>
      </c>
      <c r="L2" s="6">
        <f>IF(K2="",0,K2-J2)</f>
        <v>0.5</v>
      </c>
      <c r="M2" s="7" t="n">
        <v>1</v>
      </c>
      <c r="N2" s="8">
        <f>IF(I2="",IF(Summary!$B$2&lt;=H2,1,0),IF(I2&lt;=H2,1,0))</f>
        <v>1</v>
      </c>
      <c r="O2" s="3" t="inlineStr">
        <is>
          <t>Prepare source data model - Initial model approved</t>
        </is>
      </c>
    </row>
    <row r="3">
      <c r="A3" s="2" t="n">
        <v>102</v>
      </c>
      <c r="B3" s="3" t="inlineStr">
        <is>
          <t>Sales Dashboard Refresh</t>
        </is>
      </c>
      <c r="C3" s="2" t="inlineStr">
        <is>
          <t>PRKD</t>
        </is>
      </c>
      <c r="D3" s="2" t="inlineStr">
        <is>
          <t>SQL</t>
        </is>
      </c>
      <c r="E3" s="2" t="inlineStr">
        <is>
          <t>High</t>
        </is>
      </c>
      <c r="F3" s="2" t="inlineStr">
        <is>
          <t>In Progress</t>
        </is>
      </c>
      <c r="G3" s="4" t="n">
        <v>46273</v>
      </c>
      <c r="H3" s="4" t="n">
        <v>46290</v>
      </c>
      <c r="I3" s="4" t="n"/>
      <c r="J3" s="5" t="n">
        <v>5</v>
      </c>
      <c r="K3" s="5" t="n">
        <v>3</v>
      </c>
      <c r="L3" s="6">
        <f>IF(K3="",0,K3-J3)</f>
        <v>-2</v>
      </c>
      <c r="M3" s="7" t="n">
        <v>0.6</v>
      </c>
      <c r="N3" s="8">
        <f>IF(I3="",IF(Summary!$B$2&lt;=H3,1,0),IF(I3&lt;=H3,1,0))</f>
        <v>1</v>
      </c>
      <c r="O3" s="3" t="inlineStr">
        <is>
          <t>Create KPI validation query - Add edge-case tests</t>
        </is>
      </c>
    </row>
    <row r="4">
      <c r="A4" s="2" t="n">
        <v>103</v>
      </c>
      <c r="B4" s="3" t="inlineStr">
        <is>
          <t>GitHub Workshop Materials</t>
        </is>
      </c>
      <c r="C4" s="2" t="inlineStr">
        <is>
          <t>PRKD</t>
        </is>
      </c>
      <c r="D4" s="2" t="inlineStr">
        <is>
          <t>Testing</t>
        </is>
      </c>
      <c r="E4" s="2" t="inlineStr">
        <is>
          <t>Medium</t>
        </is>
      </c>
      <c r="F4" s="2" t="inlineStr">
        <is>
          <t>Not Started</t>
        </is>
      </c>
      <c r="G4" s="4" t="n">
        <v>46289</v>
      </c>
      <c r="H4" s="4" t="n">
        <v>46295</v>
      </c>
      <c r="I4" s="4" t="n"/>
      <c r="J4" s="5" t="n">
        <v>3</v>
      </c>
      <c r="K4" s="5" t="n"/>
      <c r="L4" s="6">
        <f>IF(K4="",0,K4-J4)</f>
        <v>0</v>
      </c>
      <c r="M4" s="7" t="n">
        <v>0</v>
      </c>
      <c r="N4" s="8">
        <f>IF(I4="",IF(Summary!$B$2&lt;=H4,1,0),IF(I4&lt;=H4,1,0))</f>
        <v>1</v>
      </c>
      <c r="O4" s="3" t="inlineStr">
        <is>
          <t>Review workshop repository - Check branches and permissions</t>
        </is>
      </c>
    </row>
    <row r="5">
      <c r="A5" s="2" t="n">
        <v>104</v>
      </c>
      <c r="B5" s="3" t="inlineStr">
        <is>
          <t>Data Quality Automation</t>
        </is>
      </c>
      <c r="C5" s="2" t="inlineStr">
        <is>
          <t>PAAT</t>
        </is>
      </c>
      <c r="D5" s="2" t="inlineStr">
        <is>
          <t>Documentation</t>
        </is>
      </c>
      <c r="E5" s="2" t="inlineStr">
        <is>
          <t>Medium</t>
        </is>
      </c>
      <c r="F5" s="2" t="inlineStr">
        <is>
          <t>Completed</t>
        </is>
      </c>
      <c r="G5" s="4" t="n">
        <v>46267</v>
      </c>
      <c r="H5" s="4" t="n">
        <v>46270</v>
      </c>
      <c r="I5" s="4" t="n">
        <v>46270</v>
      </c>
      <c r="J5" s="5" t="n">
        <v>4</v>
      </c>
      <c r="K5" s="5" t="n">
        <v>3.5</v>
      </c>
      <c r="L5" s="6">
        <f>IF(K5="",0,K5-J5)</f>
        <v>-0.5</v>
      </c>
      <c r="M5" s="7" t="n">
        <v>1</v>
      </c>
      <c r="N5" s="8">
        <f>IF(I5="",IF(Summary!$B$2&lt;=H5,1,0),IF(I5&lt;=H5,1,0))</f>
        <v>1</v>
      </c>
      <c r="O5" s="3" t="inlineStr">
        <is>
          <t>Define duplicate detection rules - Rules saved in project notes</t>
        </is>
      </c>
    </row>
    <row r="6">
      <c r="A6" s="2" t="n">
        <v>105</v>
      </c>
      <c r="B6" s="3" t="inlineStr">
        <is>
          <t>Data Quality Automation</t>
        </is>
      </c>
      <c r="C6" s="2" t="inlineStr">
        <is>
          <t>PAAT</t>
        </is>
      </c>
      <c r="D6" s="2" t="inlineStr">
        <is>
          <t>SQL</t>
        </is>
      </c>
      <c r="E6" s="2" t="inlineStr">
        <is>
          <t>High</t>
        </is>
      </c>
      <c r="F6" s="2" t="inlineStr">
        <is>
          <t>In Progress</t>
        </is>
      </c>
      <c r="G6" s="4" t="n">
        <v>46272</v>
      </c>
      <c r="H6" s="4" t="n">
        <v>46289</v>
      </c>
      <c r="I6" s="4" t="n"/>
      <c r="J6" s="5" t="n">
        <v>7</v>
      </c>
      <c r="K6" s="5" t="n">
        <v>5.5</v>
      </c>
      <c r="L6" s="6">
        <f>IF(K6="",0,K6-J6)</f>
        <v>-1.5</v>
      </c>
      <c r="M6" s="7" t="n">
        <v>0.8</v>
      </c>
      <c r="N6" s="8">
        <f>IF(I6="",IF(Summary!$B$2&lt;=H6,1,0),IF(I6&lt;=H6,1,0))</f>
        <v>1</v>
      </c>
      <c r="O6" s="3" t="inlineStr">
        <is>
          <t>Build duplicate records query - Waiting for one source column</t>
        </is>
      </c>
    </row>
    <row r="7">
      <c r="A7" s="2" t="n">
        <v>106</v>
      </c>
      <c r="B7" s="3" t="inlineStr">
        <is>
          <t>GitHub Workshop Materials</t>
        </is>
      </c>
      <c r="C7" s="2" t="inlineStr">
        <is>
          <t>PAAT</t>
        </is>
      </c>
      <c r="D7" s="2" t="inlineStr">
        <is>
          <t>Documentation</t>
        </is>
      </c>
      <c r="E7" s="2" t="inlineStr">
        <is>
          <t>Low</t>
        </is>
      </c>
      <c r="F7" s="2" t="inlineStr">
        <is>
          <t>Not Started</t>
        </is>
      </c>
      <c r="G7" s="4" t="n">
        <v>46290</v>
      </c>
      <c r="H7" s="4" t="n">
        <v>46297</v>
      </c>
      <c r="I7" s="4" t="n"/>
      <c r="J7" s="5" t="n">
        <v>2</v>
      </c>
      <c r="K7" s="5" t="n"/>
      <c r="L7" s="6">
        <f>IF(K7="",0,K7-J7)</f>
        <v>0</v>
      </c>
      <c r="M7" s="7" t="n">
        <v>0</v>
      </c>
      <c r="N7" s="8">
        <f>IF(I7="",IF(Summary!$B$2&lt;=H7,1,0),IF(I7&lt;=H7,1,0))</f>
        <v>1</v>
      </c>
      <c r="O7" s="3" t="inlineStr">
        <is>
          <t>Add README examples - Use simple Markdown examples</t>
        </is>
      </c>
    </row>
    <row r="8">
      <c r="A8" s="2" t="n">
        <v>107</v>
      </c>
      <c r="B8" s="3" t="inlineStr">
        <is>
          <t>Monthly Reporting Workflow</t>
        </is>
      </c>
      <c r="C8" s="2" t="inlineStr">
        <is>
          <t>ALZK</t>
        </is>
      </c>
      <c r="D8" s="2" t="inlineStr">
        <is>
          <t>Excel</t>
        </is>
      </c>
      <c r="E8" s="2" t="inlineStr">
        <is>
          <t>Medium</t>
        </is>
      </c>
      <c r="F8" s="2" t="inlineStr">
        <is>
          <t>Completed</t>
        </is>
      </c>
      <c r="G8" s="4" t="n">
        <v>46266</v>
      </c>
      <c r="H8" s="4" t="n">
        <v>46268</v>
      </c>
      <c r="I8" s="4" t="n">
        <v>46267</v>
      </c>
      <c r="J8" s="5" t="n">
        <v>3</v>
      </c>
      <c r="K8" s="5" t="n">
        <v>2.5</v>
      </c>
      <c r="L8" s="6">
        <f>IF(K8="",0,K8-J8)</f>
        <v>-0.5</v>
      </c>
      <c r="M8" s="7" t="n">
        <v>1</v>
      </c>
      <c r="N8" s="8">
        <f>IF(I8="",IF(Summary!$B$2&lt;=H8,1,0),IF(I8&lt;=H8,1,0))</f>
        <v>1</v>
      </c>
      <c r="O8" s="3" t="inlineStr">
        <is>
          <t>Map monthly input files - File map shared with team</t>
        </is>
      </c>
    </row>
    <row r="9">
      <c r="A9" s="2" t="n">
        <v>108</v>
      </c>
      <c r="B9" s="3" t="inlineStr">
        <is>
          <t>Monthly Reporting Workflow</t>
        </is>
      </c>
      <c r="C9" s="2" t="inlineStr">
        <is>
          <t>ALZK</t>
        </is>
      </c>
      <c r="D9" s="2" t="inlineStr">
        <is>
          <t>Documentation</t>
        </is>
      </c>
      <c r="E9" s="2" t="inlineStr">
        <is>
          <t>Medium</t>
        </is>
      </c>
      <c r="F9" s="2" t="inlineStr">
        <is>
          <t>Completed</t>
        </is>
      </c>
      <c r="G9" s="4" t="n">
        <v>46269</v>
      </c>
      <c r="H9" s="4" t="n">
        <v>46273</v>
      </c>
      <c r="I9" s="4" t="n">
        <v>46274</v>
      </c>
      <c r="J9" s="5" t="n">
        <v>3</v>
      </c>
      <c r="K9" s="5" t="n">
        <v>4</v>
      </c>
      <c r="L9" s="6">
        <f>IF(K9="",0,K9-J9)</f>
        <v>1</v>
      </c>
      <c r="M9" s="7" t="n">
        <v>1</v>
      </c>
      <c r="N9" s="8">
        <f>IF(I9="",IF(Summary!$B$2&lt;=H9,1,0),IF(I9&lt;=H9,1,0))</f>
        <v>0</v>
      </c>
      <c r="O9" s="3" t="inlineStr">
        <is>
          <t>Create import checklist - Completed one day late</t>
        </is>
      </c>
    </row>
    <row r="10">
      <c r="A10" s="2" t="n">
        <v>109</v>
      </c>
      <c r="B10" s="3" t="inlineStr">
        <is>
          <t>GitHub Workshop Materials</t>
        </is>
      </c>
      <c r="C10" s="2" t="inlineStr">
        <is>
          <t>ALZK</t>
        </is>
      </c>
      <c r="D10" s="2" t="inlineStr">
        <is>
          <t>Testing</t>
        </is>
      </c>
      <c r="E10" s="2" t="inlineStr">
        <is>
          <t>High</t>
        </is>
      </c>
      <c r="F10" s="2" t="inlineStr">
        <is>
          <t>In Progress</t>
        </is>
      </c>
      <c r="G10" s="4" t="n">
        <v>46286</v>
      </c>
      <c r="H10" s="4" t="n">
        <v>46289</v>
      </c>
      <c r="I10" s="4" t="n"/>
      <c r="J10" s="5" t="n">
        <v>4</v>
      </c>
      <c r="K10" s="5" t="n">
        <v>2</v>
      </c>
      <c r="L10" s="6">
        <f>IF(K10="",0,K10-J10)</f>
        <v>-2</v>
      </c>
      <c r="M10" s="7" t="n">
        <v>0.5</v>
      </c>
      <c r="N10" s="8">
        <f>IF(I10="",IF(Summary!$B$2&lt;=H10,1,0),IF(I10&lt;=H10,1,0))</f>
        <v>1</v>
      </c>
      <c r="O10" s="3" t="inlineStr">
        <is>
          <t>Test merge conflict scenario - Use shared SQL file</t>
        </is>
      </c>
    </row>
    <row r="11">
      <c r="A11" s="2" t="n">
        <v>110</v>
      </c>
      <c r="B11" s="3" t="inlineStr">
        <is>
          <t>Sales Dashboard Refresh</t>
        </is>
      </c>
      <c r="C11" s="2" t="inlineStr">
        <is>
          <t>WERA</t>
        </is>
      </c>
      <c r="D11" s="2" t="inlineStr">
        <is>
          <t>Power BI</t>
        </is>
      </c>
      <c r="E11" s="2" t="inlineStr">
        <is>
          <t>Medium</t>
        </is>
      </c>
      <c r="F11" s="2" t="inlineStr">
        <is>
          <t>Completed</t>
        </is>
      </c>
      <c r="G11" s="4" t="n">
        <v>46268</v>
      </c>
      <c r="H11" s="4" t="n">
        <v>46273</v>
      </c>
      <c r="I11" s="4" t="n">
        <v>46273</v>
      </c>
      <c r="J11" s="5" t="n">
        <v>6</v>
      </c>
      <c r="K11" s="5" t="n">
        <v>6</v>
      </c>
      <c r="L11" s="6">
        <f>IF(K11="",0,K11-J11)</f>
        <v>0</v>
      </c>
      <c r="M11" s="7" t="n">
        <v>1</v>
      </c>
      <c r="N11" s="8">
        <f>IF(I11="",IF(Summary!$B$2&lt;=H11,1,0),IF(I11&lt;=H11,1,0))</f>
        <v>1</v>
      </c>
      <c r="O11" s="3" t="inlineStr">
        <is>
          <t>Design dashboard layout - Layout accepted</t>
        </is>
      </c>
    </row>
    <row r="12">
      <c r="A12" s="2" t="n">
        <v>111</v>
      </c>
      <c r="B12" s="3" t="inlineStr">
        <is>
          <t>Sales Dashboard Refresh</t>
        </is>
      </c>
      <c r="C12" s="2" t="inlineStr">
        <is>
          <t>WERA</t>
        </is>
      </c>
      <c r="D12" s="2" t="inlineStr">
        <is>
          <t>Power BI</t>
        </is>
      </c>
      <c r="E12" s="2" t="inlineStr">
        <is>
          <t>Medium</t>
        </is>
      </c>
      <c r="F12" s="2" t="inlineStr">
        <is>
          <t>Blocked</t>
        </is>
      </c>
      <c r="G12" s="4" t="n">
        <v>46274</v>
      </c>
      <c r="H12" s="4" t="n">
        <v>46287</v>
      </c>
      <c r="I12" s="4" t="n"/>
      <c r="J12" s="5" t="n">
        <v>5</v>
      </c>
      <c r="K12" s="5" t="n">
        <v>2</v>
      </c>
      <c r="L12" s="6">
        <f>IF(K12="",0,K12-J12)</f>
        <v>-3</v>
      </c>
      <c r="M12" s="7" t="n">
        <v>0.4</v>
      </c>
      <c r="N12" s="8">
        <f>IF(I12="",IF(Summary!$B$2&lt;=H12,1,0),IF(I12&lt;=H12,1,0))</f>
        <v>0</v>
      </c>
      <c r="O12" s="3" t="inlineStr">
        <is>
          <t>Configure drill-through page - Blocked by missing relationship</t>
        </is>
      </c>
    </row>
    <row r="13">
      <c r="A13" s="2" t="n">
        <v>112</v>
      </c>
      <c r="B13" s="3" t="inlineStr">
        <is>
          <t>GitHub Workshop Materials</t>
        </is>
      </c>
      <c r="C13" s="2" t="inlineStr">
        <is>
          <t>WERA</t>
        </is>
      </c>
      <c r="D13" s="2" t="inlineStr">
        <is>
          <t>Documentation</t>
        </is>
      </c>
      <c r="E13" s="2" t="inlineStr">
        <is>
          <t>Low</t>
        </is>
      </c>
      <c r="F13" s="2" t="inlineStr">
        <is>
          <t>Not Started</t>
        </is>
      </c>
      <c r="G13" s="4" t="n">
        <v>46290</v>
      </c>
      <c r="H13" s="4" t="n">
        <v>46296</v>
      </c>
      <c r="I13" s="4" t="n"/>
      <c r="J13" s="5" t="n">
        <v>3</v>
      </c>
      <c r="K13" s="5" t="n"/>
      <c r="L13" s="6">
        <f>IF(K13="",0,K13-J13)</f>
        <v>0</v>
      </c>
      <c r="M13" s="7" t="n">
        <v>0</v>
      </c>
      <c r="N13" s="8">
        <f>IF(I13="",IF(Summary!$B$2&lt;=H13,1,0),IF(I13&lt;=H13,1,0))</f>
        <v>1</v>
      </c>
      <c r="O13" s="3" t="inlineStr">
        <is>
          <t>Update workshop screenshots - Capture GitHub Desktop screens</t>
        </is>
      </c>
    </row>
    <row r="14">
      <c r="A14" s="2" t="n">
        <v>113</v>
      </c>
      <c r="B14" s="3" t="inlineStr">
        <is>
          <t>Data Quality Automation</t>
        </is>
      </c>
      <c r="C14" s="2" t="inlineStr">
        <is>
          <t>DADY</t>
        </is>
      </c>
      <c r="D14" s="2" t="inlineStr">
        <is>
          <t>Testing</t>
        </is>
      </c>
      <c r="E14" s="2" t="inlineStr">
        <is>
          <t>High</t>
        </is>
      </c>
      <c r="F14" s="2" t="inlineStr">
        <is>
          <t>Completed</t>
        </is>
      </c>
      <c r="G14" s="4" t="n">
        <v>46267</v>
      </c>
      <c r="H14" s="4" t="n">
        <v>46274</v>
      </c>
      <c r="I14" s="4" t="n">
        <v>46273</v>
      </c>
      <c r="J14" s="5" t="n">
        <v>5</v>
      </c>
      <c r="K14" s="5" t="n">
        <v>5</v>
      </c>
      <c r="L14" s="6">
        <f>IF(K14="",0,K14-J14)</f>
        <v>0</v>
      </c>
      <c r="M14" s="7" t="n">
        <v>1</v>
      </c>
      <c r="N14" s="8">
        <f>IF(I14="",IF(Summary!$B$2&lt;=H14,1,0),IF(I14&lt;=H14,1,0))</f>
        <v>1</v>
      </c>
      <c r="O14" s="3" t="inlineStr">
        <is>
          <t>Create data quality test cases - All expected outcomes documented</t>
        </is>
      </c>
    </row>
    <row r="15">
      <c r="A15" s="2" t="n">
        <v>114</v>
      </c>
      <c r="B15" s="3" t="inlineStr">
        <is>
          <t>Data Quality Automation</t>
        </is>
      </c>
      <c r="C15" s="2" t="inlineStr">
        <is>
          <t>DADY</t>
        </is>
      </c>
      <c r="D15" s="2" t="inlineStr">
        <is>
          <t>Python</t>
        </is>
      </c>
      <c r="E15" s="2" t="inlineStr">
        <is>
          <t>High</t>
        </is>
      </c>
      <c r="F15" s="2" t="inlineStr">
        <is>
          <t>In Progress</t>
        </is>
      </c>
      <c r="G15" s="4" t="n">
        <v>46275</v>
      </c>
      <c r="H15" s="4" t="n">
        <v>46291</v>
      </c>
      <c r="I15" s="4" t="n"/>
      <c r="J15" s="5" t="n">
        <v>8</v>
      </c>
      <c r="K15" s="5" t="n">
        <v>4</v>
      </c>
      <c r="L15" s="6">
        <f>IF(K15="",0,K15-J15)</f>
        <v>-4</v>
      </c>
      <c r="M15" s="7" t="n">
        <v>0.55</v>
      </c>
      <c r="N15" s="8">
        <f>IF(I15="",IF(Summary!$B$2&lt;=H15,1,0),IF(I15&lt;=H15,1,0))</f>
        <v>1</v>
      </c>
      <c r="O15" s="3" t="inlineStr">
        <is>
          <t>Automate exception summary - Prototype creates CSV output</t>
        </is>
      </c>
    </row>
    <row r="16">
      <c r="A16" s="2" t="n">
        <v>115</v>
      </c>
      <c r="B16" s="3" t="inlineStr">
        <is>
          <t>Monthly Reporting Workflow</t>
        </is>
      </c>
      <c r="C16" s="2" t="inlineStr">
        <is>
          <t>DADY</t>
        </is>
      </c>
      <c r="D16" s="2" t="inlineStr">
        <is>
          <t>Excel</t>
        </is>
      </c>
      <c r="E16" s="2" t="inlineStr">
        <is>
          <t>Medium</t>
        </is>
      </c>
      <c r="F16" s="2" t="inlineStr">
        <is>
          <t>Not Started</t>
        </is>
      </c>
      <c r="G16" s="4" t="n">
        <v>46289</v>
      </c>
      <c r="H16" s="4" t="n">
        <v>46294</v>
      </c>
      <c r="I16" s="4" t="n"/>
      <c r="J16" s="5" t="n">
        <v>4</v>
      </c>
      <c r="K16" s="5" t="n"/>
      <c r="L16" s="6">
        <f>IF(K16="",0,K16-J16)</f>
        <v>0</v>
      </c>
      <c r="M16" s="7" t="n">
        <v>0</v>
      </c>
      <c r="N16" s="8">
        <f>IF(I16="",IF(Summary!$B$2&lt;=H16,1,0),IF(I16&lt;=H16,1,0))</f>
        <v>1</v>
      </c>
      <c r="O16" s="3" t="inlineStr">
        <is>
          <t>Validate report totals - Compare with prior month</t>
        </is>
      </c>
    </row>
    <row r="17">
      <c r="A17" s="2" t="n">
        <v>116</v>
      </c>
      <c r="B17" s="3" t="inlineStr">
        <is>
          <t>Monthly Reporting Workflow</t>
        </is>
      </c>
      <c r="C17" s="2" t="inlineStr">
        <is>
          <t>MIWW</t>
        </is>
      </c>
      <c r="D17" s="2" t="inlineStr">
        <is>
          <t>Excel</t>
        </is>
      </c>
      <c r="E17" s="2" t="inlineStr">
        <is>
          <t>High</t>
        </is>
      </c>
      <c r="F17" s="2" t="inlineStr">
        <is>
          <t>Completed</t>
        </is>
      </c>
      <c r="G17" s="4" t="n">
        <v>46266</v>
      </c>
      <c r="H17" s="4" t="n">
        <v>46272</v>
      </c>
      <c r="I17" s="4" t="n">
        <v>46272</v>
      </c>
      <c r="J17" s="5" t="n">
        <v>6</v>
      </c>
      <c r="K17" s="5" t="n">
        <v>6.5</v>
      </c>
      <c r="L17" s="6">
        <f>IF(K17="",0,K17-J17)</f>
        <v>0.5</v>
      </c>
      <c r="M17" s="7" t="n">
        <v>1</v>
      </c>
      <c r="N17" s="8">
        <f>IF(I17="",IF(Summary!$B$2&lt;=H17,1,0),IF(I17&lt;=H17,1,0))</f>
        <v>1</v>
      </c>
      <c r="O17" s="3" t="inlineStr">
        <is>
          <t>Create monthly control sheet - Includes reconciliation section</t>
        </is>
      </c>
    </row>
    <row r="18">
      <c r="A18" s="2" t="n">
        <v>117</v>
      </c>
      <c r="B18" s="3" t="inlineStr">
        <is>
          <t>Monthly Reporting Workflow</t>
        </is>
      </c>
      <c r="C18" s="2" t="inlineStr">
        <is>
          <t>MIWW</t>
        </is>
      </c>
      <c r="D18" s="2" t="inlineStr">
        <is>
          <t>Excel</t>
        </is>
      </c>
      <c r="E18" s="2" t="inlineStr">
        <is>
          <t>High</t>
        </is>
      </c>
      <c r="F18" s="2" t="inlineStr">
        <is>
          <t>In Progress</t>
        </is>
      </c>
      <c r="G18" s="4" t="n">
        <v>46273</v>
      </c>
      <c r="H18" s="4" t="n">
        <v>46288</v>
      </c>
      <c r="I18" s="4" t="n"/>
      <c r="J18" s="5" t="n">
        <v>5</v>
      </c>
      <c r="K18" s="5" t="n">
        <v>4</v>
      </c>
      <c r="L18" s="6">
        <f>IF(K18="",0,K18-J18)</f>
        <v>-1</v>
      </c>
      <c r="M18" s="7" t="n">
        <v>0.75</v>
      </c>
      <c r="N18" s="8">
        <f>IF(I18="",IF(Summary!$B$2&lt;=H18,1,0),IF(I18&lt;=H18,1,0))</f>
        <v>1</v>
      </c>
      <c r="O18" s="3" t="inlineStr">
        <is>
          <t>Add formula error checks - Two checks remain</t>
        </is>
      </c>
    </row>
    <row r="19">
      <c r="A19" s="2" t="n">
        <v>118</v>
      </c>
      <c r="B19" s="3" t="inlineStr">
        <is>
          <t>GitHub Workshop Materials</t>
        </is>
      </c>
      <c r="C19" s="2" t="inlineStr">
        <is>
          <t>MIWW</t>
        </is>
      </c>
      <c r="D19" s="2" t="inlineStr">
        <is>
          <t>Git</t>
        </is>
      </c>
      <c r="E19" s="2" t="inlineStr">
        <is>
          <t>Medium</t>
        </is>
      </c>
      <c r="F19" s="2" t="inlineStr">
        <is>
          <t>Completed</t>
        </is>
      </c>
      <c r="G19" s="4" t="n">
        <v>46283</v>
      </c>
      <c r="H19" s="4" t="n">
        <v>46286</v>
      </c>
      <c r="I19" s="4" t="n">
        <v>46285</v>
      </c>
      <c r="J19" s="5" t="n">
        <v>2</v>
      </c>
      <c r="K19" s="5" t="n">
        <v>1.5</v>
      </c>
      <c r="L19" s="6">
        <f>IF(K19="",0,K19-J19)</f>
        <v>-0.5</v>
      </c>
      <c r="M19" s="7" t="n">
        <v>1</v>
      </c>
      <c r="N19" s="8">
        <f>IF(I19="",IF(Summary!$B$2&lt;=H19,1,0),IF(I19&lt;=H19,1,0))</f>
        <v>1</v>
      </c>
      <c r="O19" s="3" t="inlineStr">
        <is>
          <t>Create sample pull request - Pull request merged</t>
        </is>
      </c>
    </row>
    <row r="20">
      <c r="A20" s="2" t="n">
        <v>119</v>
      </c>
      <c r="B20" s="3" t="inlineStr">
        <is>
          <t>Sales Dashboard Refresh</t>
        </is>
      </c>
      <c r="C20" s="2" t="inlineStr">
        <is>
          <t>KIPJ</t>
        </is>
      </c>
      <c r="D20" s="2" t="inlineStr">
        <is>
          <t>SQL</t>
        </is>
      </c>
      <c r="E20" s="2" t="inlineStr">
        <is>
          <t>Medium</t>
        </is>
      </c>
      <c r="F20" s="2" t="inlineStr">
        <is>
          <t>Completed</t>
        </is>
      </c>
      <c r="G20" s="4" t="n">
        <v>46269</v>
      </c>
      <c r="H20" s="4" t="n">
        <v>46275</v>
      </c>
      <c r="I20" s="4" t="n">
        <v>46275</v>
      </c>
      <c r="J20" s="5" t="n">
        <v>4</v>
      </c>
      <c r="K20" s="5" t="n">
        <v>4</v>
      </c>
      <c r="L20" s="6">
        <f>IF(K20="",0,K20-J20)</f>
        <v>0</v>
      </c>
      <c r="M20" s="7" t="n">
        <v>1</v>
      </c>
      <c r="N20" s="8">
        <f>IF(I20="",IF(Summary!$B$2&lt;=H20,1,0),IF(I20&lt;=H20,1,0))</f>
        <v>1</v>
      </c>
      <c r="O20" s="3" t="inlineStr">
        <is>
          <t>Prepare dashboard test data - Includes null and duplicate rows</t>
        </is>
      </c>
    </row>
    <row r="21">
      <c r="A21" s="2" t="n">
        <v>120</v>
      </c>
      <c r="B21" s="3" t="inlineStr">
        <is>
          <t>Sales Dashboard Refresh</t>
        </is>
      </c>
      <c r="C21" s="2" t="inlineStr">
        <is>
          <t>KIPJ</t>
        </is>
      </c>
      <c r="D21" s="2" t="inlineStr">
        <is>
          <t>Testing</t>
        </is>
      </c>
      <c r="E21" s="2" t="inlineStr">
        <is>
          <t>High</t>
        </is>
      </c>
      <c r="F21" s="2" t="inlineStr">
        <is>
          <t>In Progress</t>
        </is>
      </c>
      <c r="G21" s="4" t="n">
        <v>46280</v>
      </c>
      <c r="H21" s="4" t="n">
        <v>46293</v>
      </c>
      <c r="I21" s="4" t="n"/>
      <c r="J21" s="5" t="n">
        <v>6</v>
      </c>
      <c r="K21" s="5" t="n">
        <v>2.5</v>
      </c>
      <c r="L21" s="6">
        <f>IF(K21="",0,K21-J21)</f>
        <v>-3.5</v>
      </c>
      <c r="M21" s="7" t="n">
        <v>0.35</v>
      </c>
      <c r="N21" s="8">
        <f>IF(I21="",IF(Summary!$B$2&lt;=H21,1,0),IF(I21&lt;=H21,1,0))</f>
        <v>1</v>
      </c>
      <c r="O21" s="3" t="inlineStr">
        <is>
          <t>Run user acceptance test - First feedback collected</t>
        </is>
      </c>
    </row>
    <row r="22">
      <c r="A22" s="2" t="n">
        <v>121</v>
      </c>
      <c r="B22" s="3" t="inlineStr">
        <is>
          <t>Data Quality Automation</t>
        </is>
      </c>
      <c r="C22" s="2" t="inlineStr">
        <is>
          <t>KIPJ</t>
        </is>
      </c>
      <c r="D22" s="2" t="inlineStr">
        <is>
          <t>Documentation</t>
        </is>
      </c>
      <c r="E22" s="2" t="inlineStr">
        <is>
          <t>Low</t>
        </is>
      </c>
      <c r="F22" s="2" t="inlineStr">
        <is>
          <t>Not Started</t>
        </is>
      </c>
      <c r="G22" s="4" t="n">
        <v>46293</v>
      </c>
      <c r="H22" s="4" t="n">
        <v>46300</v>
      </c>
      <c r="I22" s="4" t="n"/>
      <c r="J22" s="5" t="n">
        <v>3</v>
      </c>
      <c r="K22" s="5" t="n"/>
      <c r="L22" s="6">
        <f>IF(K22="",0,K22-J22)</f>
        <v>0</v>
      </c>
      <c r="M22" s="7" t="n">
        <v>0</v>
      </c>
      <c r="N22" s="8">
        <f>IF(I22="",IF(Summary!$B$2&lt;=H22,1,0),IF(I22&lt;=H22,1,0))</f>
        <v>1</v>
      </c>
      <c r="O22" s="3" t="inlineStr">
        <is>
          <t>Document exception handling - Add examples after testing</t>
        </is>
      </c>
    </row>
    <row r="23">
      <c r="A23" s="2" t="n">
        <v>122</v>
      </c>
      <c r="B23" s="3" t="inlineStr">
        <is>
          <t>Data Quality Automation</t>
        </is>
      </c>
      <c r="C23" s="2" t="inlineStr">
        <is>
          <t>KRWO</t>
        </is>
      </c>
      <c r="D23" s="2" t="inlineStr">
        <is>
          <t>SQL</t>
        </is>
      </c>
      <c r="E23" s="2" t="inlineStr">
        <is>
          <t>Medium</t>
        </is>
      </c>
      <c r="F23" s="2" t="inlineStr">
        <is>
          <t>Completed</t>
        </is>
      </c>
      <c r="G23" s="4" t="n">
        <v>46266</v>
      </c>
      <c r="H23" s="4" t="n">
        <v>46271</v>
      </c>
      <c r="I23" s="4" t="n">
        <v>46271</v>
      </c>
      <c r="J23" s="5" t="n">
        <v>5</v>
      </c>
      <c r="K23" s="5" t="n">
        <v>4.5</v>
      </c>
      <c r="L23" s="6">
        <f>IF(K23="",0,K23-J23)</f>
        <v>-0.5</v>
      </c>
      <c r="M23" s="7" t="n">
        <v>1</v>
      </c>
      <c r="N23" s="8">
        <f>IF(I23="",IF(Summary!$B$2&lt;=H23,1,0),IF(I23&lt;=H23,1,0))</f>
        <v>1</v>
      </c>
      <c r="O23" s="3" t="inlineStr">
        <is>
          <t>Profile source columns - Profile stored in workbook</t>
        </is>
      </c>
    </row>
    <row r="24">
      <c r="A24" s="2" t="n">
        <v>123</v>
      </c>
      <c r="B24" s="3" t="inlineStr">
        <is>
          <t>Monthly Reporting Workflow</t>
        </is>
      </c>
      <c r="C24" s="2" t="inlineStr">
        <is>
          <t>KRWO</t>
        </is>
      </c>
      <c r="D24" s="2" t="inlineStr">
        <is>
          <t>Documentation</t>
        </is>
      </c>
      <c r="E24" s="2" t="inlineStr">
        <is>
          <t>Medium</t>
        </is>
      </c>
      <c r="F24" s="2" t="inlineStr">
        <is>
          <t>In Progress</t>
        </is>
      </c>
      <c r="G24" s="4" t="n">
        <v>46277</v>
      </c>
      <c r="H24" s="4" t="n">
        <v>46290</v>
      </c>
      <c r="I24" s="4" t="n"/>
      <c r="J24" s="5" t="n">
        <v>4</v>
      </c>
      <c r="K24" s="5" t="n">
        <v>2.5</v>
      </c>
      <c r="L24" s="6">
        <f>IF(K24="",0,K24-J24)</f>
        <v>-1.5</v>
      </c>
      <c r="M24" s="7" t="n">
        <v>0.65</v>
      </c>
      <c r="N24" s="8">
        <f>IF(I24="",IF(Summary!$B$2&lt;=H24,1,0),IF(I24&lt;=H24,1,0))</f>
        <v>1</v>
      </c>
      <c r="O24" s="3" t="inlineStr">
        <is>
          <t>Prepare refresh instructions - Add troubleshooting section</t>
        </is>
      </c>
    </row>
    <row r="25">
      <c r="A25" s="2" t="n">
        <v>124</v>
      </c>
      <c r="B25" s="3" t="inlineStr">
        <is>
          <t>GitHub Workshop Materials</t>
        </is>
      </c>
      <c r="C25" s="2" t="inlineStr">
        <is>
          <t>KRWO</t>
        </is>
      </c>
      <c r="D25" s="2" t="inlineStr">
        <is>
          <t>Testing</t>
        </is>
      </c>
      <c r="E25" s="2" t="inlineStr">
        <is>
          <t>High</t>
        </is>
      </c>
      <c r="F25" s="2" t="inlineStr">
        <is>
          <t>Blocked</t>
        </is>
      </c>
      <c r="G25" s="4" t="n">
        <v>46287</v>
      </c>
      <c r="H25" s="4" t="n">
        <v>46288</v>
      </c>
      <c r="I25" s="4" t="n"/>
      <c r="J25" s="5" t="n">
        <v>3</v>
      </c>
      <c r="K25" s="5" t="n">
        <v>1</v>
      </c>
      <c r="L25" s="6">
        <f>IF(K25="",0,K25-J25)</f>
        <v>-2</v>
      </c>
      <c r="M25" s="7" t="n">
        <v>0.25</v>
      </c>
      <c r="N25" s="8">
        <f>IF(I25="",IF(Summary!$B$2&lt;=H25,1,0),IF(I25&lt;=H25,1,0))</f>
        <v>1</v>
      </c>
      <c r="O25" s="3" t="inlineStr">
        <is>
          <t>Verify final workshop files - Waiting for final participant list</t>
        </is>
      </c>
    </row>
  </sheetData>
  <autoFilter ref="A1:O25"/>
  <conditionalFormatting sqref="F2:F25">
    <cfRule type="expression" priority="1" dxfId="0">
      <formula>$F2="Completed"</formula>
    </cfRule>
    <cfRule type="expression" priority="2" dxfId="1">
      <formula>$F2="Blocked"</formula>
    </cfRule>
  </conditionalFormatting>
  <conditionalFormatting sqref="E2:E25">
    <cfRule type="expression" priority="3" dxfId="2">
      <formula>$E2="High"</formula>
    </cfRule>
  </conditionalFormatting>
  <conditionalFormatting sqref="N2:N25">
    <cfRule type="cellIs" priority="4" operator="equal" dxfId="1">
      <formula>0</formula>
    </cfRule>
  </conditionalFormatting>
  <pageMargins left="0.75" right="0.75" top="1" bottom="1" header="0.5" footer="0.5"/>
  <tableParts count="1">
    <tablePart ns1:id="rId1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K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9" t="inlineStr">
        <is>
          <t>GitHub Desktop Workshop - Team Summary</t>
        </is>
      </c>
    </row>
    <row r="2">
      <c r="A2" s="10" t="inlineStr">
        <is>
          <t>Reference Date</t>
        </is>
      </c>
      <c r="B2" s="11" t="n">
        <v>46288</v>
      </c>
      <c r="D2" s="12" t="inlineStr">
        <is>
          <t>Change this date to refresh On Time results in Excel.</t>
        </is>
      </c>
    </row>
    <row r="5" ht="32" customHeight="1">
      <c r="A5" s="13" t="inlineStr">
        <is>
          <t>Participant</t>
        </is>
      </c>
      <c r="B5" s="13" t="inlineStr">
        <is>
          <t>Total Tasks</t>
        </is>
      </c>
      <c r="C5" s="13" t="inlineStr">
        <is>
          <t>Completed</t>
        </is>
      </c>
      <c r="D5" s="13" t="inlineStr">
        <is>
          <t>In Progress</t>
        </is>
      </c>
      <c r="E5" s="13" t="inlineStr">
        <is>
          <t>Blocked</t>
        </is>
      </c>
      <c r="F5" s="13" t="inlineStr">
        <is>
          <t>Estimated Hours</t>
        </is>
      </c>
      <c r="G5" s="13" t="inlineStr">
        <is>
          <t>Actual Hours</t>
        </is>
      </c>
      <c r="H5" s="13" t="inlineStr">
        <is>
          <t>Variance Hours</t>
        </is>
      </c>
      <c r="I5" s="13" t="inlineStr">
        <is>
          <t>Avg Completion</t>
        </is>
      </c>
      <c r="J5" s="13" t="inlineStr">
        <is>
          <t>Completion Rate</t>
        </is>
      </c>
      <c r="K5" s="13" t="inlineStr">
        <is>
          <t>On Time Tasks</t>
        </is>
      </c>
    </row>
    <row r="6">
      <c r="A6" s="14" t="inlineStr">
        <is>
          <t>PRKD</t>
        </is>
      </c>
      <c r="B6" s="15">
        <f>COUNTIF(Tasks!$C$2:$C$25,$A6)</f>
        <v>3</v>
      </c>
      <c r="C6" s="15">
        <f>COUNTIFS(Tasks!$C$2:$C$25,$A6,Tasks!$F$2:$F$25,"Completed")</f>
        <v>1</v>
      </c>
      <c r="D6" s="15">
        <f>COUNTIFS(Tasks!$C$2:$C$25,$A6,Tasks!$F$2:$F$25,"In Progress")</f>
        <v>1</v>
      </c>
      <c r="E6" s="15">
        <f>COUNTIFS(Tasks!$C$2:$C$25,$A6,Tasks!$F$2:$F$25,"Blocked")</f>
        <v>0</v>
      </c>
      <c r="F6" s="16">
        <f>SUMIF(Tasks!$C$2:$C$25,$A6,Tasks!$J$2:$J$25)</f>
        <v>14</v>
      </c>
      <c r="G6" s="16">
        <f>SUMIF(Tasks!$C$2:$C$25,$A6,Tasks!$K$2:$K$25)</f>
        <v>9.5</v>
      </c>
      <c r="H6" s="16">
        <f>G6-F6</f>
        <v>-4.5</v>
      </c>
      <c r="I6" s="17">
        <f>IFERROR(AVERAGEIF(Tasks!$C$2:$C$25,$A6,Tasks!$M$2:$M$25),0)</f>
        <v>0.533333333333333</v>
      </c>
      <c r="J6" s="17">
        <f>IFERROR(C6/B6,0)</f>
        <v>0.333333333333333</v>
      </c>
      <c r="K6" s="15">
        <f>COUNTIFS(Tasks!$C$2:$C$25,$A6,Tasks!$N$2:$N$25,1)</f>
        <v>3</v>
      </c>
    </row>
    <row r="7">
      <c r="A7" s="14" t="inlineStr">
        <is>
          <t>PAAT</t>
        </is>
      </c>
      <c r="B7" s="15">
        <f>COUNTIF(Tasks!$C$2:$C$25,$A7)</f>
        <v>3</v>
      </c>
      <c r="C7" s="15">
        <f>COUNTIFS(Tasks!$C$2:$C$25,$A7,Tasks!$F$2:$F$25,"Completed")</f>
        <v>1</v>
      </c>
      <c r="D7" s="15">
        <f>COUNTIFS(Tasks!$C$2:$C$25,$A7,Tasks!$F$2:$F$25,"In Progress")</f>
        <v>1</v>
      </c>
      <c r="E7" s="15">
        <f>COUNTIFS(Tasks!$C$2:$C$25,$A7,Tasks!$F$2:$F$25,"Blocked")</f>
        <v>0</v>
      </c>
      <c r="F7" s="16">
        <f>SUMIF(Tasks!$C$2:$C$25,$A7,Tasks!$J$2:$J$25)</f>
        <v>13</v>
      </c>
      <c r="G7" s="16">
        <f>SUMIF(Tasks!$C$2:$C$25,$A7,Tasks!$K$2:$K$25)</f>
        <v>9</v>
      </c>
      <c r="H7" s="16">
        <f>G7-F7</f>
        <v>-4</v>
      </c>
      <c r="I7" s="17">
        <f>IFERROR(AVERAGEIF(Tasks!$C$2:$C$25,$A7,Tasks!$M$2:$M$25),0)</f>
        <v>0.6</v>
      </c>
      <c r="J7" s="17">
        <f>IFERROR(C7/B7,0)</f>
        <v>0.333333333333333</v>
      </c>
      <c r="K7" s="15">
        <f>COUNTIFS(Tasks!$C$2:$C$25,$A7,Tasks!$N$2:$N$25,1)</f>
        <v>3</v>
      </c>
    </row>
    <row r="8">
      <c r="A8" s="14" t="inlineStr">
        <is>
          <t>ALZK</t>
        </is>
      </c>
      <c r="B8" s="15">
        <f>COUNTIF(Tasks!$C$2:$C$25,$A8)</f>
        <v>3</v>
      </c>
      <c r="C8" s="15">
        <f>COUNTIFS(Tasks!$C$2:$C$25,$A8,Tasks!$F$2:$F$25,"Completed")</f>
        <v>2</v>
      </c>
      <c r="D8" s="15">
        <f>COUNTIFS(Tasks!$C$2:$C$25,$A8,Tasks!$F$2:$F$25,"In Progress")</f>
        <v>1</v>
      </c>
      <c r="E8" s="15">
        <f>COUNTIFS(Tasks!$C$2:$C$25,$A8,Tasks!$F$2:$F$25,"Blocked")</f>
        <v>0</v>
      </c>
      <c r="F8" s="16">
        <f>SUMIF(Tasks!$C$2:$C$25,$A8,Tasks!$J$2:$J$25)</f>
        <v>10</v>
      </c>
      <c r="G8" s="16">
        <f>SUMIF(Tasks!$C$2:$C$25,$A8,Tasks!$K$2:$K$25)</f>
        <v>8.5</v>
      </c>
      <c r="H8" s="16">
        <f>G8-F8</f>
        <v>-1.5</v>
      </c>
      <c r="I8" s="17">
        <f>IFERROR(AVERAGEIF(Tasks!$C$2:$C$25,$A8,Tasks!$M$2:$M$25),0)</f>
        <v>0.833333333333333</v>
      </c>
      <c r="J8" s="17">
        <f>IFERROR(C8/B8,0)</f>
        <v>0.666666666666667</v>
      </c>
      <c r="K8" s="15">
        <f>COUNTIFS(Tasks!$C$2:$C$25,$A8,Tasks!$N$2:$N$25,1)</f>
        <v>2</v>
      </c>
    </row>
    <row r="9">
      <c r="A9" s="14" t="inlineStr">
        <is>
          <t>WERA</t>
        </is>
      </c>
      <c r="B9" s="15">
        <f>COUNTIF(Tasks!$C$2:$C$25,$A9)</f>
        <v>3</v>
      </c>
      <c r="C9" s="15">
        <f>COUNTIFS(Tasks!$C$2:$C$25,$A9,Tasks!$F$2:$F$25,"Completed")</f>
        <v>1</v>
      </c>
      <c r="D9" s="15">
        <f>COUNTIFS(Tasks!$C$2:$C$25,$A9,Tasks!$F$2:$F$25,"In Progress")</f>
        <v>0</v>
      </c>
      <c r="E9" s="15">
        <f>COUNTIFS(Tasks!$C$2:$C$25,$A9,Tasks!$F$2:$F$25,"Blocked")</f>
        <v>1</v>
      </c>
      <c r="F9" s="16">
        <f>SUMIF(Tasks!$C$2:$C$25,$A9,Tasks!$J$2:$J$25)</f>
        <v>14</v>
      </c>
      <c r="G9" s="16">
        <f>SUMIF(Tasks!$C$2:$C$25,$A9,Tasks!$K$2:$K$25)</f>
        <v>8</v>
      </c>
      <c r="H9" s="16">
        <f>G9-F9</f>
        <v>-6</v>
      </c>
      <c r="I9" s="17">
        <f>IFERROR(AVERAGEIF(Tasks!$C$2:$C$25,$A9,Tasks!$M$2:$M$25),0)</f>
        <v>0.466666666666667</v>
      </c>
      <c r="J9" s="17">
        <f>IFERROR(C9/B9,0)</f>
        <v>0.333333333333333</v>
      </c>
      <c r="K9" s="15">
        <f>COUNTIFS(Tasks!$C$2:$C$25,$A9,Tasks!$N$2:$N$25,1)</f>
        <v>2</v>
      </c>
    </row>
    <row r="10">
      <c r="A10" s="14" t="inlineStr">
        <is>
          <t>DADY</t>
        </is>
      </c>
      <c r="B10" s="15">
        <f>COUNTIF(Tasks!$C$2:$C$25,$A10)</f>
        <v>3</v>
      </c>
      <c r="C10" s="15">
        <f>COUNTIFS(Tasks!$C$2:$C$25,$A10,Tasks!$F$2:$F$25,"Completed")</f>
        <v>1</v>
      </c>
      <c r="D10" s="15">
        <f>COUNTIFS(Tasks!$C$2:$C$25,$A10,Tasks!$F$2:$F$25,"In Progress")</f>
        <v>1</v>
      </c>
      <c r="E10" s="15">
        <f>COUNTIFS(Tasks!$C$2:$C$25,$A10,Tasks!$F$2:$F$25,"Blocked")</f>
        <v>0</v>
      </c>
      <c r="F10" s="16">
        <f>SUMIF(Tasks!$C$2:$C$25,$A10,Tasks!$J$2:$J$25)</f>
        <v>17</v>
      </c>
      <c r="G10" s="16">
        <f>SUMIF(Tasks!$C$2:$C$25,$A10,Tasks!$K$2:$K$25)</f>
        <v>9</v>
      </c>
      <c r="H10" s="16">
        <f>G10-F10</f>
        <v>-8</v>
      </c>
      <c r="I10" s="17">
        <f>IFERROR(AVERAGEIF(Tasks!$C$2:$C$25,$A10,Tasks!$M$2:$M$25),0)</f>
        <v>0.516666666666667</v>
      </c>
      <c r="J10" s="17">
        <f>IFERROR(C10/B10,0)</f>
        <v>0.333333333333333</v>
      </c>
      <c r="K10" s="15">
        <f>COUNTIFS(Tasks!$C$2:$C$25,$A10,Tasks!$N$2:$N$25,1)</f>
        <v>3</v>
      </c>
    </row>
    <row r="11">
      <c r="A11" s="14" t="inlineStr">
        <is>
          <t>MIWW</t>
        </is>
      </c>
      <c r="B11" s="15">
        <f>COUNTIF(Tasks!$C$2:$C$25,$A11)</f>
        <v>3</v>
      </c>
      <c r="C11" s="15">
        <f>COUNTIFS(Tasks!$C$2:$C$25,$A11,Tasks!$F$2:$F$25,"Completed")</f>
        <v>2</v>
      </c>
      <c r="D11" s="15">
        <f>COUNTIFS(Tasks!$C$2:$C$25,$A11,Tasks!$F$2:$F$25,"In Progress")</f>
        <v>1</v>
      </c>
      <c r="E11" s="15">
        <f>COUNTIFS(Tasks!$C$2:$C$25,$A11,Tasks!$F$2:$F$25,"Blocked")</f>
        <v>0</v>
      </c>
      <c r="F11" s="16">
        <f>SUMIF(Tasks!$C$2:$C$25,$A11,Tasks!$J$2:$J$25)</f>
        <v>13</v>
      </c>
      <c r="G11" s="16">
        <f>SUMIF(Tasks!$C$2:$C$25,$A11,Tasks!$K$2:$K$25)</f>
        <v>12</v>
      </c>
      <c r="H11" s="16">
        <f>G11-F11</f>
        <v>-1</v>
      </c>
      <c r="I11" s="17">
        <f>IFERROR(AVERAGEIF(Tasks!$C$2:$C$25,$A11,Tasks!$M$2:$M$25),0)</f>
        <v>0.916666666666667</v>
      </c>
      <c r="J11" s="17">
        <f>IFERROR(C11/B11,0)</f>
        <v>0.666666666666667</v>
      </c>
      <c r="K11" s="15">
        <f>COUNTIFS(Tasks!$C$2:$C$25,$A11,Tasks!$N$2:$N$25,1)</f>
        <v>3</v>
      </c>
    </row>
    <row r="12">
      <c r="A12" s="14" t="inlineStr">
        <is>
          <t>KIPJ</t>
        </is>
      </c>
      <c r="B12" s="15">
        <f>COUNTIF(Tasks!$C$2:$C$25,$A12)</f>
        <v>3</v>
      </c>
      <c r="C12" s="15">
        <f>COUNTIFS(Tasks!$C$2:$C$25,$A12,Tasks!$F$2:$F$25,"Completed")</f>
        <v>1</v>
      </c>
      <c r="D12" s="15">
        <f>COUNTIFS(Tasks!$C$2:$C$25,$A12,Tasks!$F$2:$F$25,"In Progress")</f>
        <v>1</v>
      </c>
      <c r="E12" s="15">
        <f>COUNTIFS(Tasks!$C$2:$C$25,$A12,Tasks!$F$2:$F$25,"Blocked")</f>
        <v>0</v>
      </c>
      <c r="F12" s="16">
        <f>SUMIF(Tasks!$C$2:$C$25,$A12,Tasks!$J$2:$J$25)</f>
        <v>13</v>
      </c>
      <c r="G12" s="16">
        <f>SUMIF(Tasks!$C$2:$C$25,$A12,Tasks!$K$2:$K$25)</f>
        <v>6.5</v>
      </c>
      <c r="H12" s="16">
        <f>G12-F12</f>
        <v>-6.5</v>
      </c>
      <c r="I12" s="17">
        <f>IFERROR(AVERAGEIF(Tasks!$C$2:$C$25,$A12,Tasks!$M$2:$M$25),0)</f>
        <v>0.45</v>
      </c>
      <c r="J12" s="17">
        <f>IFERROR(C12/B12,0)</f>
        <v>0.333333333333333</v>
      </c>
      <c r="K12" s="15">
        <f>COUNTIFS(Tasks!$C$2:$C$25,$A12,Tasks!$N$2:$N$25,1)</f>
        <v>3</v>
      </c>
    </row>
    <row r="13">
      <c r="A13" s="14" t="inlineStr">
        <is>
          <t>KRWO</t>
        </is>
      </c>
      <c r="B13" s="15">
        <f>COUNTIF(Tasks!$C$2:$C$25,$A13)</f>
        <v>3</v>
      </c>
      <c r="C13" s="15">
        <f>COUNTIFS(Tasks!$C$2:$C$25,$A13,Tasks!$F$2:$F$25,"Completed")</f>
        <v>1</v>
      </c>
      <c r="D13" s="15">
        <f>COUNTIFS(Tasks!$C$2:$C$25,$A13,Tasks!$F$2:$F$25,"In Progress")</f>
        <v>1</v>
      </c>
      <c r="E13" s="15">
        <f>COUNTIFS(Tasks!$C$2:$C$25,$A13,Tasks!$F$2:$F$25,"Blocked")</f>
        <v>1</v>
      </c>
      <c r="F13" s="16">
        <f>SUMIF(Tasks!$C$2:$C$25,$A13,Tasks!$J$2:$J$25)</f>
        <v>12</v>
      </c>
      <c r="G13" s="16">
        <f>SUMIF(Tasks!$C$2:$C$25,$A13,Tasks!$K$2:$K$25)</f>
        <v>8</v>
      </c>
      <c r="H13" s="16">
        <f>G13-F13</f>
        <v>-4</v>
      </c>
      <c r="I13" s="17">
        <f>IFERROR(AVERAGEIF(Tasks!$C$2:$C$25,$A13,Tasks!$M$2:$M$25),0)</f>
        <v>0.633333333333333</v>
      </c>
      <c r="J13" s="17">
        <f>IFERROR(C13/B13,0)</f>
        <v>0.333333333333333</v>
      </c>
      <c r="K13" s="15">
        <f>COUNTIFS(Tasks!$C$2:$C$25,$A13,Tasks!$N$2:$N$25,1)</f>
        <v>3</v>
      </c>
    </row>
    <row r="14">
      <c r="A14" s="18" t="inlineStr">
        <is>
          <t>TOTAL / AVERAGE</t>
        </is>
      </c>
      <c r="B14" s="19">
        <f>SUM(B6:B13)</f>
        <v>24</v>
      </c>
      <c r="C14" s="19">
        <f>SUM(C6:C13)</f>
        <v>10</v>
      </c>
      <c r="D14" s="19">
        <f>SUM(D6:D13)</f>
        <v>7</v>
      </c>
      <c r="E14" s="19">
        <f>SUM(E6:E13)</f>
        <v>2</v>
      </c>
      <c r="F14" s="20">
        <f>SUM(F6:F13)</f>
        <v>106</v>
      </c>
      <c r="G14" s="20">
        <f>SUM(G6:G13)</f>
        <v>70.5</v>
      </c>
      <c r="H14" s="20">
        <f>SUM(H6:H13)</f>
        <v>-35.5</v>
      </c>
      <c r="I14" s="21">
        <f>AVERAGE(I6:I13)</f>
        <v>0.61875</v>
      </c>
      <c r="J14" s="21">
        <f>IFERROR(C14/B14,0)</f>
        <v>0.416666666666667</v>
      </c>
      <c r="K14" s="19">
        <f>SUM(K6:K13)</f>
        <v>22</v>
      </c>
    </row>
  </sheetData>
  <mergeCells count="1">
    <mergeCell ref="A1:K1"/>
  </mergeCells>
  <conditionalFormatting sqref="H6:H14">
    <cfRule type="cellIs" priority="1" operator="greaterThan" dxfId="1">
      <formula>0</formula>
    </cfRule>
  </conditionalFormatting>
  <conditionalFormatting sqref="J6:J13">
    <cfRule type="cellIs" priority="2" operator="greaterThanOrEqual" dxfId="0">
      <formula>0.67</formula>
    </cfRule>
  </conditionalFormatting>
  <pageMargins left="0.75" right="0.75" top="1" bottom="1" header="0.5" footer="0.5"/>
  <drawing ns1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62" customWidth="1" min="3" max="3"/>
    <col width="20" customWidth="1" min="4" max="4"/>
    <col width="18" customWidth="1" min="5" max="5"/>
    <col width="35" customWidth="1" min="6" max="6"/>
  </cols>
  <sheetData>
    <row r="1" ht="30" customHeight="1">
      <c r="A1" s="9" t="inlineStr">
        <is>
          <t>Shared Workshop File - Suggested Exercises</t>
        </is>
      </c>
    </row>
    <row r="2">
      <c r="A2" s="13" t="inlineStr">
        <is>
          <t>Step</t>
        </is>
      </c>
      <c r="B2" s="13" t="inlineStr">
        <is>
          <t>Exercise</t>
        </is>
      </c>
      <c r="C2" s="13" t="inlineStr">
        <is>
          <t>Action</t>
        </is>
      </c>
      <c r="D2" s="13" t="inlineStr">
        <is>
          <t>Tool</t>
        </is>
      </c>
      <c r="E2" s="13" t="inlineStr">
        <is>
          <t>Completed By</t>
        </is>
      </c>
      <c r="F2" s="13" t="inlineStr">
        <is>
          <t>Notes</t>
        </is>
      </c>
    </row>
    <row r="3">
      <c r="A3" s="22" t="inlineStr">
        <is>
          <t>1</t>
        </is>
      </c>
      <c r="B3" s="22" t="inlineStr">
        <is>
          <t>Create a branch</t>
        </is>
      </c>
      <c r="C3" s="22" t="inlineStr">
        <is>
          <t>Create a branch named feature/&lt;your-initials&gt;.</t>
        </is>
      </c>
      <c r="D3" s="22" t="inlineStr">
        <is>
          <t>GitHub Desktop</t>
        </is>
      </c>
      <c r="E3" s="3" t="inlineStr"/>
      <c r="F3" s="3" t="inlineStr"/>
    </row>
    <row r="4">
      <c r="A4" s="22" t="inlineStr">
        <is>
          <t>2</t>
        </is>
      </c>
      <c r="B4" s="22" t="inlineStr">
        <is>
          <t>Edit a task</t>
        </is>
      </c>
      <c r="C4" s="22" t="inlineStr">
        <is>
          <t>Change one status, completion value or note on the Tasks sheet.</t>
        </is>
      </c>
      <c r="D4" s="22" t="inlineStr">
        <is>
          <t>Excel</t>
        </is>
      </c>
      <c r="E4" s="3" t="inlineStr"/>
      <c r="F4" s="3" t="inlineStr"/>
    </row>
    <row r="5">
      <c r="A5" s="22" t="inlineStr">
        <is>
          <t>3</t>
        </is>
      </c>
      <c r="B5" s="22" t="inlineStr">
        <is>
          <t>Add a row</t>
        </is>
      </c>
      <c r="C5" s="22" t="inlineStr">
        <is>
          <t>Add one new task assigned to your initials.</t>
        </is>
      </c>
      <c r="D5" s="22" t="inlineStr">
        <is>
          <t>Excel</t>
        </is>
      </c>
      <c r="E5" s="3" t="inlineStr"/>
      <c r="F5" s="3" t="inlineStr"/>
    </row>
    <row r="6">
      <c r="A6" s="22" t="inlineStr">
        <is>
          <t>4</t>
        </is>
      </c>
      <c r="B6" s="22" t="inlineStr">
        <is>
          <t>Commit changes</t>
        </is>
      </c>
      <c r="C6" s="22" t="inlineStr">
        <is>
          <t>Use a short message that explains what changed.</t>
        </is>
      </c>
      <c r="D6" s="22" t="inlineStr">
        <is>
          <t>GitHub Desktop</t>
        </is>
      </c>
      <c r="E6" s="3" t="inlineStr"/>
      <c r="F6" s="3" t="inlineStr"/>
    </row>
    <row r="7">
      <c r="A7" s="22" t="inlineStr">
        <is>
          <t>5</t>
        </is>
      </c>
      <c r="B7" s="22" t="inlineStr">
        <is>
          <t>Push branch</t>
        </is>
      </c>
      <c r="C7" s="22" t="inlineStr">
        <is>
          <t>Publish or push the branch to the remote repository.</t>
        </is>
      </c>
      <c r="D7" s="22" t="inlineStr">
        <is>
          <t>GitHub Desktop</t>
        </is>
      </c>
      <c r="E7" s="3" t="inlineStr"/>
      <c r="F7" s="3" t="inlineStr"/>
    </row>
    <row r="8">
      <c r="A8" s="22" t="inlineStr">
        <is>
          <t>6</t>
        </is>
      </c>
      <c r="B8" s="22" t="inlineStr">
        <is>
          <t>Create pull request</t>
        </is>
      </c>
      <c r="C8" s="22" t="inlineStr">
        <is>
          <t>Describe the change and ask another participant for review.</t>
        </is>
      </c>
      <c r="D8" s="22" t="inlineStr">
        <is>
          <t>GitHub</t>
        </is>
      </c>
      <c r="E8" s="3" t="inlineStr"/>
      <c r="F8" s="3" t="inlineStr"/>
    </row>
    <row r="9">
      <c r="A9" s="22" t="inlineStr">
        <is>
          <t>7</t>
        </is>
      </c>
      <c r="B9" s="22" t="inlineStr">
        <is>
          <t>Review SQL</t>
        </is>
      </c>
      <c r="C9" s="22" t="inlineStr">
        <is>
          <t>Add a comment or a new SELECT query to the shared SQL file.</t>
        </is>
      </c>
      <c r="D9" s="22" t="inlineStr">
        <is>
          <t>SQL editor</t>
        </is>
      </c>
      <c r="E9" s="3" t="inlineStr"/>
      <c r="F9" s="3" t="inlineStr"/>
    </row>
    <row r="10">
      <c r="A10" s="22" t="inlineStr">
        <is>
          <t>8</t>
        </is>
      </c>
      <c r="B10" s="22" t="inlineStr">
        <is>
          <t>Resolve a conflict</t>
        </is>
      </c>
      <c r="C10" s="22" t="inlineStr">
        <is>
          <t>Two participants edit the same note and resolve the conflict together.</t>
        </is>
      </c>
      <c r="D10" s="22" t="inlineStr">
        <is>
          <t>GitHub Desktop</t>
        </is>
      </c>
      <c r="E10" s="3" t="inlineStr"/>
      <c r="F10" s="3" t="inlineStr"/>
    </row>
    <row r="13">
      <c r="A13" s="10" t="inlineStr">
        <is>
          <t>Color legend</t>
        </is>
      </c>
    </row>
    <row r="14">
      <c r="A14" s="23" t="inlineStr">
        <is>
          <t>Blue text</t>
        </is>
      </c>
      <c r="B14" t="inlineStr">
        <is>
          <t>Editable input</t>
        </is>
      </c>
    </row>
    <row r="15">
      <c r="A15" s="24" t="inlineStr">
        <is>
          <t>Black text</t>
        </is>
      </c>
      <c r="B15" t="inlineStr">
        <is>
          <t>Formula or calculated value</t>
        </is>
      </c>
    </row>
    <row r="16">
      <c r="A16" s="25" t="inlineStr">
        <is>
          <t>Green text</t>
        </is>
      </c>
      <c r="B16" t="inlineStr">
        <is>
          <t>Linked formula from another sheet</t>
        </is>
      </c>
    </row>
    <row r="17">
      <c r="A17" s="26" t="inlineStr">
        <is>
          <t>Gray text</t>
        </is>
      </c>
      <c r="B17" t="inlineStr">
        <is>
          <t>Static label or instruction</t>
        </is>
      </c>
    </row>
    <row r="18">
      <c r="A18" s="27" t="inlineStr">
        <is>
          <t>Purple fill</t>
        </is>
      </c>
      <c r="B18" t="inlineStr">
        <is>
          <t>Control value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2026-09-23T13:44:39Z</dcterms:created>
  <dcterms:modified xmlns:dcterms="http://purl.org/dc/terms/" xmlns:xsi="http://www.w3.org/2001/XMLSchema-instance" xsi:type="dcterms:W3CDTF">2026-09-23T13:44:39Z</dcterms:modified>
</cp:coreProperties>
</file>